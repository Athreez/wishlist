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ap\Wishlist\"/>
    </mc:Choice>
  </mc:AlternateContent>
  <xr:revisionPtr revIDLastSave="0" documentId="13_ncr:1_{35AF2834-F644-49A5-9E79-AC547AC7B4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2" i="1"/>
</calcChain>
</file>

<file path=xl/sharedStrings.xml><?xml version="1.0" encoding="utf-8"?>
<sst xmlns="http://schemas.openxmlformats.org/spreadsheetml/2006/main" count="479" uniqueCount="337">
  <si>
    <t>tenure</t>
  </si>
  <si>
    <t>G-Sec Apr ’30</t>
  </si>
  <si>
    <t>Semi Annually</t>
  </si>
  <si>
    <t>₹103</t>
  </si>
  <si>
    <t>Sovereign</t>
  </si>
  <si>
    <t>IN0020230036</t>
  </si>
  <si>
    <t>https://cdn.bondscanner.com/issuer-assets/WXWT9FJ2AH/logo_1772205552.png</t>
  </si>
  <si>
    <t>https://bondscanner.com/deal-details/IN0020230036/VRAU8IOF5N</t>
  </si>
  <si>
    <t>B.N. Agritech Nov ’28</t>
  </si>
  <si>
    <t>Quarterly</t>
  </si>
  <si>
    <t>₹9,932</t>
  </si>
  <si>
    <t>A</t>
  </si>
  <si>
    <t>INE00XL07015</t>
  </si>
  <si>
    <t>https://cdn.bondscanner.com/issuer-assets/HYTD9553PR/logo_1780300920.png</t>
  </si>
  <si>
    <t>https://bondscanner.com/deal-details/INE00XL07015/RI8D34Y7YO</t>
  </si>
  <si>
    <t>Hari and Company Investments Madras May ’28</t>
  </si>
  <si>
    <t>₹10,003</t>
  </si>
  <si>
    <t>A+</t>
  </si>
  <si>
    <t>INE01HV07635</t>
  </si>
  <si>
    <t>https://cdn.bondscanner.com/issuer-assets/H3U6JWESSY/logo_1782195292.png</t>
  </si>
  <si>
    <t>https://bondscanner.com/deal-details/INE01HV07635/D2IO9XSWCE</t>
  </si>
  <si>
    <t>EarlySalary Services Jan ’28</t>
  </si>
  <si>
    <t>Monthly</t>
  </si>
  <si>
    <t>₹100,018</t>
  </si>
  <si>
    <t>A-</t>
  </si>
  <si>
    <t>INE01YL07409</t>
  </si>
  <si>
    <t>https://cdn.bondscanner.com/strapi-assets/Frame_1707480411_4ad6648c95.webp</t>
  </si>
  <si>
    <t>https://bondscanner.com/deal-details/INE01YL07409/Q26JYG9EJC</t>
  </si>
  <si>
    <t>EarlySalary Services Jun ’28</t>
  </si>
  <si>
    <t>₹100,331</t>
  </si>
  <si>
    <t>INE01YL07433</t>
  </si>
  <si>
    <t>https://bondscanner.com/deal-details/INE01YL07433/2ZNUPDLRMM</t>
  </si>
  <si>
    <t>EarlySalary Services Jul ’28</t>
  </si>
  <si>
    <t>₹99,728</t>
  </si>
  <si>
    <t>INE01YL07441</t>
  </si>
  <si>
    <t>https://bondscanner.com/deal-details/INE01YL07441/2AIJK8GOUL</t>
  </si>
  <si>
    <t>Godrej Finance Apr ’36</t>
  </si>
  <si>
    <t>Annual</t>
  </si>
  <si>
    <t>₹101,552</t>
  </si>
  <si>
    <t>AA+</t>
  </si>
  <si>
    <t>INE02KN08012</t>
  </si>
  <si>
    <t>https://cdn.bondscanner.com/issuer-assets/HGZ4PL9GAU/logo_1779689482.png</t>
  </si>
  <si>
    <t>https://bondscanner.com/deal-details/INE02KN08012/O19FIKNYAF</t>
  </si>
  <si>
    <t>Best Capital Mar ’29</t>
  </si>
  <si>
    <t>₹9,113</t>
  </si>
  <si>
    <t>BBB</t>
  </si>
  <si>
    <t>INE04UP07170</t>
  </si>
  <si>
    <t>https://cdn.bondscanner.com/issuer-assets/XA4YVZHHCW/logo_1774958604.png</t>
  </si>
  <si>
    <t>https://bondscanner.com/deal-details/INE04UP07170/2XFRWJQ03O</t>
  </si>
  <si>
    <t>ICICI Home Finance Aug ’31</t>
  </si>
  <si>
    <t>₹1,055,867</t>
  </si>
  <si>
    <t>AAA</t>
  </si>
  <si>
    <t>INE071G07439</t>
  </si>
  <si>
    <t>https://cdn.bondscanner.com/issuer-assets/ZV3Q5KY1RH/logo_1781523484.png</t>
  </si>
  <si>
    <t>https://bondscanner.com/deal-details/INE071G07439/X3TT4PP9YU</t>
  </si>
  <si>
    <t>Avanse Financial Services Sep ’27</t>
  </si>
  <si>
    <t>₹107,322</t>
  </si>
  <si>
    <t>AA-</t>
  </si>
  <si>
    <t>INE087P07485</t>
  </si>
  <si>
    <t>https://cdn.bondscanner.com/issuer-assets/2M2LVWFVAR/logo_1781523452.png</t>
  </si>
  <si>
    <t>https://bondscanner.com/deal-details/INE087P07485/TBBRSA8WJM</t>
  </si>
  <si>
    <t>Akara Capital Nov ’27</t>
  </si>
  <si>
    <t>₹9,756</t>
  </si>
  <si>
    <t>INE08XP07498</t>
  </si>
  <si>
    <t>https://cdn.bondscanner.com/strapi-assets/Frame_1707480408_0b0d5b8c10.webp</t>
  </si>
  <si>
    <t>https://bondscanner.com/deal-details/INE08XP07498/N64O6NJ8KE</t>
  </si>
  <si>
    <t>Slice Dec ’31</t>
  </si>
  <si>
    <t>₹99,228</t>
  </si>
  <si>
    <t>BBB+</t>
  </si>
  <si>
    <t>INE09B308044</t>
  </si>
  <si>
    <t>https://cdn.bondscanner.com/issuer-assets/RSBYZWMKDI/logo_1774011986.png</t>
  </si>
  <si>
    <t>https://bondscanner.com/deal-details/INE09B308044/CGCPY77MXI</t>
  </si>
  <si>
    <t>Indel Money Jan ’29</t>
  </si>
  <si>
    <t>₹100,405</t>
  </si>
  <si>
    <t>INE0BUS07CJ2</t>
  </si>
  <si>
    <t>https://cdn.bondscanner.com/issuer-assets/G0Z4IVQFVE/logo_1775192276.png</t>
  </si>
  <si>
    <t>https://bondscanner.com/deal-details/INE0BUS07CJ2/1CDWI9CFL0</t>
  </si>
  <si>
    <t>Indel Money Apr ’28</t>
  </si>
  <si>
    <t>₹9,831</t>
  </si>
  <si>
    <t>INE0BUS07CK0</t>
  </si>
  <si>
    <t>https://bondscanner.com/deal-details/INE0BUS07CK0/ED0HDYSJM0</t>
  </si>
  <si>
    <t>Indel Money Jun ’32</t>
  </si>
  <si>
    <t>₹98,707</t>
  </si>
  <si>
    <t>INE0BUS08047</t>
  </si>
  <si>
    <t>https://bondscanner.com/deal-details/INE0BUS08047/RS1HL4V5TV</t>
  </si>
  <si>
    <t>Adani Airports Jun ’28</t>
  </si>
  <si>
    <t>₹102,638</t>
  </si>
  <si>
    <t>INE0GCN07039</t>
  </si>
  <si>
    <t>https://cdn.bondscanner.com/issuer-assets/GG4GC9R4KR/logo_1771941145.png</t>
  </si>
  <si>
    <t>https://bondscanner.com/deal-details/INE0GCN07039/G4FGDG837G</t>
  </si>
  <si>
    <t>Monedo Financial Services Jul ’27</t>
  </si>
  <si>
    <t>₹99,339</t>
  </si>
  <si>
    <t>BBB-</t>
  </si>
  <si>
    <t>INE0I5X07034</t>
  </si>
  <si>
    <t>https://cdn.bondscanner.com/issuer-assets/7R64OM6LIR/logo_1782373567.png</t>
  </si>
  <si>
    <t>https://bondscanner.com/deal-details/INE0I5X07034/94W0FN0KTS</t>
  </si>
  <si>
    <t>Prachay Capital Mar ’30</t>
  </si>
  <si>
    <t>₹10,032</t>
  </si>
  <si>
    <t>INE0IID07553</t>
  </si>
  <si>
    <t>https://cdn.bondscanner.com/issuer-assets/8IABVO9YVC/logo_1780551055.png</t>
  </si>
  <si>
    <t>https://bondscanner.com/deal-details/INE0IID07553/RQZ521B02K</t>
  </si>
  <si>
    <t>Mangalam Apr ’29</t>
  </si>
  <si>
    <t>₹100,429</t>
  </si>
  <si>
    <t>INE0JYY07026</t>
  </si>
  <si>
    <t>https://cdn.bondscanner.com/issuer-assets/RDHCLX0DGM/logo_1778220948.png</t>
  </si>
  <si>
    <t>https://bondscanner.com/deal-details/INE0JYY07026/IX3OZA8XDE</t>
  </si>
  <si>
    <t>Lucina Land Jan ’29</t>
  </si>
  <si>
    <t>₹101,176</t>
  </si>
  <si>
    <t>INE0JZO07040</t>
  </si>
  <si>
    <t>https://cdn.bondscanner.com/issuer-assets/YXE0TFSRC8/logo_1781860001.png</t>
  </si>
  <si>
    <t>https://bondscanner.com/deal-details/INE0JZO07040/6YTKP09SXZ</t>
  </si>
  <si>
    <t>Viviana Power Tech May ’28</t>
  </si>
  <si>
    <t>₹9,969</t>
  </si>
  <si>
    <t>INE0MEG07029</t>
  </si>
  <si>
    <t>https://cdn.bondscanner.com/issuer-assets/CFIXVM1WW8/logo_1780577167.png</t>
  </si>
  <si>
    <t>https://bondscanner.com/deal-details/INE0MEG07029/3MIOBDBOMQ</t>
  </si>
  <si>
    <t>Keertana Finserv May ’27</t>
  </si>
  <si>
    <t>₹39,904</t>
  </si>
  <si>
    <t>INE0NES07147</t>
  </si>
  <si>
    <t>https://cdn.bondscanner.com/issuer-assets/BP8O7XLW8G/logo_1764160292.png</t>
  </si>
  <si>
    <t>https://bondscanner.com/deal-details/INE0NES07147/URC4NT9SO8</t>
  </si>
  <si>
    <t>Muthoot Mcred Jun ’28</t>
  </si>
  <si>
    <t>₹9,768</t>
  </si>
  <si>
    <t>INE101Q07BX1</t>
  </si>
  <si>
    <t>https://cdn.bondscanner.com/issuer-assets/10EFL8UCYL/logo_1771595713.png</t>
  </si>
  <si>
    <t>https://bondscanner.com/deal-details/INE101Q07BX1/OP9MQ9UD6B</t>
  </si>
  <si>
    <t>Oriental Nagpur Betul Highway Mar ’27</t>
  </si>
  <si>
    <t>Semi-Annual</t>
  </si>
  <si>
    <t>₹103,221</t>
  </si>
  <si>
    <t>INE105N07738</t>
  </si>
  <si>
    <t>https://cdn.bondscanner.com/issuer-assets/LMDKDUN8BF/logo_1780551082.png</t>
  </si>
  <si>
    <t>https://bondscanner.com/deal-details/INE105N07738/N5XZQOGW1E</t>
  </si>
  <si>
    <t>Arman Financial Services Sep ’28</t>
  </si>
  <si>
    <t>₹99,901</t>
  </si>
  <si>
    <t>INE109C07147</t>
  </si>
  <si>
    <t>https://cdn.bondscanner.com/issuer-assets/AYEYF1BJEQ/logo_1774964448.png</t>
  </si>
  <si>
    <t>https://bondscanner.com/deal-details/INE109C07147/W20QUO39SW</t>
  </si>
  <si>
    <t>Hinduja Leyland May ’30</t>
  </si>
  <si>
    <t>₹102,563</t>
  </si>
  <si>
    <t>INE146O07540</t>
  </si>
  <si>
    <t>https://cdn.bondscanner.com/issuer-assets/OOWBT2Y63B/logo_1768461370.png</t>
  </si>
  <si>
    <t>https://bondscanner.com/deal-details/INE146O07540/RGU9RBVZLO</t>
  </si>
  <si>
    <t>Finnable Credit Aug ’28</t>
  </si>
  <si>
    <t>₹9,990</t>
  </si>
  <si>
    <t>INE14H407116</t>
  </si>
  <si>
    <t>https://cdn.bondscanner.com/issuer-assets/FR1RVI7HKH/logo_1772711247.png</t>
  </si>
  <si>
    <t>https://bondscanner.com/deal-details/INE14H407116/TVOBF9JUTI</t>
  </si>
  <si>
    <t>Dvara Kshetriya Jan ’29</t>
  </si>
  <si>
    <t>INE179P07621</t>
  </si>
  <si>
    <t>https://cdn.bondscanner.com/issuer-assets/N8DCSL78LZ/logo_1764660578.png</t>
  </si>
  <si>
    <t>https://bondscanner.com/deal-details/INE179P07621/YA2U5NC342</t>
  </si>
  <si>
    <t>Capri Global Capital Apr ’29</t>
  </si>
  <si>
    <t>₹99,880</t>
  </si>
  <si>
    <t>AA</t>
  </si>
  <si>
    <t>INE180C07304</t>
  </si>
  <si>
    <t>https://cdn.bondscanner.com/issuer-assets/DCVXVBK03R/logo_1773754592.png</t>
  </si>
  <si>
    <t>https://bondscanner.com/deal-details/INE180C07304/8D9SXT9WKI</t>
  </si>
  <si>
    <t>STL Networks Sep ’27</t>
  </si>
  <si>
    <t>₹100,663</t>
  </si>
  <si>
    <t>INE1VXE07015</t>
  </si>
  <si>
    <t>https://cdn.bondscanner.com/issuer-assets/5EOQO4VUIV/logo_1780061354.png</t>
  </si>
  <si>
    <t>https://bondscanner.com/deal-details/INE1VXE07015/5EES9SERE3</t>
  </si>
  <si>
    <t>STL Networks Jun ’28</t>
  </si>
  <si>
    <t>₹101,306</t>
  </si>
  <si>
    <t>INE1VXE07023</t>
  </si>
  <si>
    <t>https://bondscanner.com/deal-details/INE1VXE07023/F2V8IR3XXC</t>
  </si>
  <si>
    <t>Namra Finance Apr ’28</t>
  </si>
  <si>
    <t>₹101,969</t>
  </si>
  <si>
    <t>INE229U07186</t>
  </si>
  <si>
    <t>https://cdn.bondscanner.com/issuer-assets/VZ1MBPWUY0/logo_1778228152.png</t>
  </si>
  <si>
    <t>https://bondscanner.com/deal-details/INE229U07186/CXXNS7G48N</t>
  </si>
  <si>
    <t>Lloyds Metals and Energy Jan ’31</t>
  </si>
  <si>
    <t>₹103,315</t>
  </si>
  <si>
    <t>INE281B07013</t>
  </si>
  <si>
    <t>https://cdn.bondscanner.com/issuer-assets/XW2NOLS2E1/logo_1771857403.png</t>
  </si>
  <si>
    <t>https://bondscanner.com/deal-details/INE281B07013/XYMZZF0405</t>
  </si>
  <si>
    <t>Moneyboxx Oct ’27</t>
  </si>
  <si>
    <t>₹9,827</t>
  </si>
  <si>
    <t>INE296Q07142</t>
  </si>
  <si>
    <t>https://cdn.bondscanner.com/issuer-assets/GK54JELMQP/logo_1765286642.png</t>
  </si>
  <si>
    <t>https://bondscanner.com/deal-details/INE296Q07142/LQ1MZIM3FW</t>
  </si>
  <si>
    <t>Moneyboxx Nov ’27</t>
  </si>
  <si>
    <t>₹9,857</t>
  </si>
  <si>
    <t>INE296Q07159</t>
  </si>
  <si>
    <t>https://bondscanner.com/deal-details/INE296Q07159/63PYLH5QVE</t>
  </si>
  <si>
    <t>Moneyboxx Apr ’28</t>
  </si>
  <si>
    <t>₹9,779</t>
  </si>
  <si>
    <t>INE296Q07167</t>
  </si>
  <si>
    <t>https://bondscanner.com/deal-details/INE296Q07167/1K9CHXW0CJ</t>
  </si>
  <si>
    <t>InCred Finance Dec ’27</t>
  </si>
  <si>
    <t>INE321N07590</t>
  </si>
  <si>
    <t>https://cdn.bondscanner.com/issuer-assets/YVDQ2P9KG5/logo_1774274546.png</t>
  </si>
  <si>
    <t>https://bondscanner.com/deal-details/INE321N07590/OUSYPE3TA9</t>
  </si>
  <si>
    <t>InCred Finance Mar ’28</t>
  </si>
  <si>
    <t>₹100,377</t>
  </si>
  <si>
    <t>INE321N07632</t>
  </si>
  <si>
    <t>https://bondscanner.com/deal-details/INE321N07632/FAYLWX30N5</t>
  </si>
  <si>
    <t>InCred Finance Jun ’28</t>
  </si>
  <si>
    <t>₹99,878</t>
  </si>
  <si>
    <t>INE321N07699</t>
  </si>
  <si>
    <t>https://bondscanner.com/deal-details/INE321N07699/T0GEYZXLJO</t>
  </si>
  <si>
    <t>Navi Finserv Dec ’28</t>
  </si>
  <si>
    <t>₹10,100</t>
  </si>
  <si>
    <t>INE342T07668</t>
  </si>
  <si>
    <t>https://cdn.bondscanner.com/issuer-assets/V0LR2J7XNS/logo_1764159868.png</t>
  </si>
  <si>
    <t>https://bondscanner.com/deal-details/INE342T07668/RDE3ZZFWPF</t>
  </si>
  <si>
    <t>Navi Finserv May ’28</t>
  </si>
  <si>
    <t>₹99,312</t>
  </si>
  <si>
    <t>INE342T07684</t>
  </si>
  <si>
    <t>https://bondscanner.com/deal-details/INE342T07684/MB2C3ITTOP</t>
  </si>
  <si>
    <t>Navi Finserv Mar ’28</t>
  </si>
  <si>
    <t>₹99,536</t>
  </si>
  <si>
    <t>INE342T07718</t>
  </si>
  <si>
    <t>https://bondscanner.com/deal-details/INE342T07718/VLSDJ4JY6M</t>
  </si>
  <si>
    <t>Navi Finserv Aug ’29</t>
  </si>
  <si>
    <t>₹100,162</t>
  </si>
  <si>
    <t>INE342T07726</t>
  </si>
  <si>
    <t>https://bondscanner.com/deal-details/INE342T07726/M2IWAGSS43</t>
  </si>
  <si>
    <t>Dishman Carbogen Jan ’29</t>
  </si>
  <si>
    <t>₹82,544</t>
  </si>
  <si>
    <t>INE385W07059</t>
  </si>
  <si>
    <t>https://cdn.bondscanner.com/issuer-assets/G6XVA50UFF/logo_1780550967.png</t>
  </si>
  <si>
    <t>https://bondscanner.com/deal-details/INE385W07059/4TKBEEYU85</t>
  </si>
  <si>
    <t>Dishman Carbogen Dec ’27</t>
  </si>
  <si>
    <t>₹99,734</t>
  </si>
  <si>
    <t>INE385W07067</t>
  </si>
  <si>
    <t>https://bondscanner.com/deal-details/INE385W07067/XW9HO06FOF</t>
  </si>
  <si>
    <t>Profectus Capital Jan ’28</t>
  </si>
  <si>
    <t>₹99,137</t>
  </si>
  <si>
    <t>INE389Z07096</t>
  </si>
  <si>
    <t>https://cdn.bondscanner.com/issuer-assets/U1OXDXRCCT/logo_1769688915.png</t>
  </si>
  <si>
    <t>https://bondscanner.com/deal-details/INE389Z07096/306258W0WI</t>
  </si>
  <si>
    <t>Profectus Capital Feb ’28</t>
  </si>
  <si>
    <t>₹9,817</t>
  </si>
  <si>
    <t>INE389Z07104</t>
  </si>
  <si>
    <t>https://bondscanner.com/deal-details/INE389Z07104/8WNFNRRTSV</t>
  </si>
  <si>
    <t>Kosamattam Finance May ’29</t>
  </si>
  <si>
    <t>₹97,016</t>
  </si>
  <si>
    <t>INE403Q07HB4</t>
  </si>
  <si>
    <t>https://cdn.bondscanner.com/issuer-assets/9U05BMZY66/logo_1773057855.png</t>
  </si>
  <si>
    <t>https://bondscanner.com/deal-details/INE403Q07HB4/JN7WBTWQZI</t>
  </si>
  <si>
    <t>Kosamattam Finance Nov ’31</t>
  </si>
  <si>
    <t>₹99,509</t>
  </si>
  <si>
    <t>INE403Q08357</t>
  </si>
  <si>
    <t>https://bondscanner.com/deal-details/INE403Q08357/S8QUZ37B22</t>
  </si>
  <si>
    <t>IIFL Samasta Sep ’28</t>
  </si>
  <si>
    <t>₹99,383</t>
  </si>
  <si>
    <t>INE413U07434</t>
  </si>
  <si>
    <t>https://cdn.bondscanner.com/issuer-assets/SRJ6979SV3/logo_1768486748.png</t>
  </si>
  <si>
    <t>https://bondscanner.com/deal-details/INE413U07434/XNT67S5QJX</t>
  </si>
  <si>
    <t>Paisalo Dec ’28</t>
  </si>
  <si>
    <t>₹97,225</t>
  </si>
  <si>
    <t>INE420C07163</t>
  </si>
  <si>
    <t>https://cdn.bondscanner.com/issuer-assets/59RPX3W75H/logo_1770037027.png</t>
  </si>
  <si>
    <t>https://bondscanner.com/deal-details/INE420C07163/X0WZEP0X9Z</t>
  </si>
  <si>
    <t>Paisalo Sep ’28</t>
  </si>
  <si>
    <t>₹98,472</t>
  </si>
  <si>
    <t>INE420C07189</t>
  </si>
  <si>
    <t>https://bondscanner.com/deal-details/INE420C07189/M13MTMYZR5</t>
  </si>
  <si>
    <t>Adani Enterprises Jan ’28</t>
  </si>
  <si>
    <t>₹10,410</t>
  </si>
  <si>
    <t>INE423A07484</t>
  </si>
  <si>
    <t>https://cdn.bondscanner.com/issuer-assets/XT359A167O/logo_1770021137.png</t>
  </si>
  <si>
    <t>https://bondscanner.com/deal-details/INE423A07484/OTAASPKNFW</t>
  </si>
  <si>
    <t>₹10,422</t>
  </si>
  <si>
    <t>INE423A07500</t>
  </si>
  <si>
    <t>https://bondscanner.com/deal-details/INE423A07500/2K2TGHWEPW</t>
  </si>
  <si>
    <t>Asirvad Micro Finance May ’33</t>
  </si>
  <si>
    <t>₹101,889</t>
  </si>
  <si>
    <t>INE516Q08497</t>
  </si>
  <si>
    <t>https://cdn.bondscanner.com/issuer-assets/H1L058KGHV/logo_1781523366.png</t>
  </si>
  <si>
    <t>https://bondscanner.com/deal-details/INE516Q08497/ZFAXKX3UDC</t>
  </si>
  <si>
    <t>Piramal Finance Sep ’31</t>
  </si>
  <si>
    <t>₹74,726</t>
  </si>
  <si>
    <t>INE516Y07444</t>
  </si>
  <si>
    <t>https://cdn.bondscanner.com/issuer-assets/F1771RZ0G1/logo_1771941078.png</t>
  </si>
  <si>
    <t>https://bondscanner.com/deal-details/INE516Y07444/ZE0T0BSV48</t>
  </si>
  <si>
    <t>IIFL Finance Mar ’28</t>
  </si>
  <si>
    <t>₹102,979</t>
  </si>
  <si>
    <t>INE530B07617</t>
  </si>
  <si>
    <t>https://cdn.bondscanner.com/issuer-assets/9ITA5DZC9S/logo_1773832206.png</t>
  </si>
  <si>
    <t>https://bondscanner.com/deal-details/INE530B07617/I6IJW6YGZP</t>
  </si>
  <si>
    <t>Muthoot Fincorp Oct ’28</t>
  </si>
  <si>
    <t>₹100,307</t>
  </si>
  <si>
    <t>INE549K07HB7</t>
  </si>
  <si>
    <t>https://cdn.bondscanner.com/issuer-assets/X7XWMS7KU9/logo_1768821863.png</t>
  </si>
  <si>
    <t>https://bondscanner.com/deal-details/INE549K07HB7/28SO3Q7O8X</t>
  </si>
  <si>
    <t>Muthoot Fincorp Dec ’28</t>
  </si>
  <si>
    <t>₹100,225</t>
  </si>
  <si>
    <t>INE549K07HD3</t>
  </si>
  <si>
    <t>https://bondscanner.com/deal-details/INE549K07HD3/ZYDIPPKOWZ</t>
  </si>
  <si>
    <t>Muthoot Fincorp Mar ’29</t>
  </si>
  <si>
    <t>₹100,292</t>
  </si>
  <si>
    <t>INE549K07HQ5</t>
  </si>
  <si>
    <t>https://bondscanner.com/deal-details/INE549K07HQ5/09X2TTN5US</t>
  </si>
  <si>
    <t>Muthoot Fincorp Dec ’33</t>
  </si>
  <si>
    <t>₹102,150</t>
  </si>
  <si>
    <t>INE549K08590</t>
  </si>
  <si>
    <t>https://bondscanner.com/deal-details/INE549K08590/2H3NUW2RNS</t>
  </si>
  <si>
    <t>UGRO Capital Oct ’26</t>
  </si>
  <si>
    <t>₹102,560</t>
  </si>
  <si>
    <t>INE583D07570</t>
  </si>
  <si>
    <t>https://cdn.bondscanner.com/strapi-assets/Frame_1707480418_0c5badaaed.webp</t>
  </si>
  <si>
    <t>https://bondscanner.com/deal-details/INE583D07570/WB6NNEUHP9</t>
  </si>
  <si>
    <t>UGRO Capital Jun ’29</t>
  </si>
  <si>
    <t>₹9,955</t>
  </si>
  <si>
    <t>INE583D07638</t>
  </si>
  <si>
    <t>https://bondscanner.com/deal-details/INE583D07638/C0P5UM3Y27</t>
  </si>
  <si>
    <t>CreditAccess Grameen Jun ’28</t>
  </si>
  <si>
    <t>₹100,957</t>
  </si>
  <si>
    <t>INE741K07611</t>
  </si>
  <si>
    <t>https://cdn.bondscanner.com/issuer-assets/0ABCY3V05L/logo_1783078838.png</t>
  </si>
  <si>
    <t>https://bondscanner.com/deal-details/INE741K07611/E3J7Q0I4WG</t>
  </si>
  <si>
    <t>IKF Finance Mar ’28</t>
  </si>
  <si>
    <t>₹10,010</t>
  </si>
  <si>
    <t>INE859C07253</t>
  </si>
  <si>
    <t>https://cdn.bondscanner.com/issuer-assets/77POWP4NTI/logo_1780550936.png</t>
  </si>
  <si>
    <t>https://bondscanner.com/deal-details/INE859C07253/E8UT05COB5</t>
  </si>
  <si>
    <t>Unifinz Capital India May ’28</t>
  </si>
  <si>
    <t>₹9,776</t>
  </si>
  <si>
    <t>INE926R07035</t>
  </si>
  <si>
    <t>https://cdn.bondscanner.com/issuer-assets/3W31IEDGNY/logo_1772021730.png</t>
  </si>
  <si>
    <t>https://bondscanner.com/deal-details/INE926R07035/CLV7N8D6S4</t>
  </si>
  <si>
    <t>Regency Fincorp Dec ’28</t>
  </si>
  <si>
    <t>₹9,848</t>
  </si>
  <si>
    <t>INE964R07093</t>
  </si>
  <si>
    <t>https://cdn.bondscanner.com/issuer-assets/FPJV5YWFWN/logo_1770722950.png</t>
  </si>
  <si>
    <t>https://bondscanner.com/deal-details/INE964R07093/R1GBWJ18WI</t>
  </si>
  <si>
    <t>bond_name</t>
  </si>
  <si>
    <t>payout_frequency</t>
  </si>
  <si>
    <t>maturity_date</t>
  </si>
  <si>
    <t>min_Investment</t>
  </si>
  <si>
    <t>rating</t>
  </si>
  <si>
    <t>isin</t>
  </si>
  <si>
    <t>logo_url</t>
  </si>
  <si>
    <t>detail_url</t>
  </si>
  <si>
    <t>bond_yield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</si>
</sst>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G1" workbookViewId="0">
      <selection activeCell="H10" sqref="H10"/>
    </sheetView>
  </sheetViews>
  <sheetFormatPr defaultRowHeight="14.4" x14ac:dyDescent="0.3"/>
  <cols>
    <col min="1" max="1" width="19.33203125" customWidth="1"/>
    <col min="2" max="2" width="25.109375" customWidth="1"/>
    <col min="3" max="3" width="20.21875" customWidth="1"/>
    <col min="4" max="4" width="19.5546875" customWidth="1"/>
    <col min="5" max="5" width="20" customWidth="1"/>
    <col min="6" max="6" width="26.5546875" customWidth="1"/>
    <col min="7" max="7" width="70" customWidth="1"/>
    <col min="8" max="8" width="64" customWidth="1"/>
    <col min="10" max="10" width="14.44140625" customWidth="1"/>
  </cols>
  <sheetData>
    <row r="1" spans="1:10" x14ac:dyDescent="0.3">
      <c r="A1" t="s">
        <v>333</v>
      </c>
      <c r="B1" t="s">
        <v>328</v>
      </c>
      <c r="C1" t="s">
        <v>332</v>
      </c>
      <c r="D1" t="s">
        <v>336</v>
      </c>
      <c r="E1" t="s">
        <v>331</v>
      </c>
      <c r="F1" t="s">
        <v>329</v>
      </c>
      <c r="G1" t="s">
        <v>334</v>
      </c>
      <c r="H1" t="s">
        <v>335</v>
      </c>
      <c r="I1" t="s">
        <v>0</v>
      </c>
      <c r="J1" t="s">
        <v>330</v>
      </c>
    </row>
    <row r="2" spans="1:10" x14ac:dyDescent="0.3">
      <c r="A2" t="s">
        <v>5</v>
      </c>
      <c r="B2" t="s">
        <v>1</v>
      </c>
      <c r="C2" t="s">
        <v>4</v>
      </c>
      <c r="D2" s="2">
        <v>6.5000000000000002E-2</v>
      </c>
      <c r="E2" s="3" t="s">
        <v>3</v>
      </c>
      <c r="F2" t="s">
        <v>2</v>
      </c>
      <c r="G2" t="s">
        <v>6</v>
      </c>
      <c r="H2" t="s">
        <v>7</v>
      </c>
      <c r="I2" s="4">
        <f ca="1">ROUND(YEARFRAC(TODAY(),J2),2)</f>
        <v>3.78</v>
      </c>
      <c r="J2" s="1">
        <v>47590</v>
      </c>
    </row>
    <row r="3" spans="1:10" x14ac:dyDescent="0.3">
      <c r="A3" t="s">
        <v>12</v>
      </c>
      <c r="B3" t="s">
        <v>8</v>
      </c>
      <c r="C3" t="s">
        <v>11</v>
      </c>
      <c r="D3" s="2">
        <v>0.112</v>
      </c>
      <c r="E3" s="3" t="s">
        <v>10</v>
      </c>
      <c r="F3" t="s">
        <v>9</v>
      </c>
      <c r="G3" t="s">
        <v>13</v>
      </c>
      <c r="H3" t="s">
        <v>14</v>
      </c>
      <c r="I3" s="4">
        <f ca="1">ROUND(YEARFRAC(TODAY(),J3),2)</f>
        <v>2.39</v>
      </c>
      <c r="J3" s="1">
        <v>47084</v>
      </c>
    </row>
    <row r="4" spans="1:10" x14ac:dyDescent="0.3">
      <c r="A4" t="s">
        <v>18</v>
      </c>
      <c r="B4" t="s">
        <v>15</v>
      </c>
      <c r="C4" t="s">
        <v>17</v>
      </c>
      <c r="D4" s="2">
        <v>0.10100000000000001</v>
      </c>
      <c r="E4" s="3" t="s">
        <v>16</v>
      </c>
      <c r="F4" t="s">
        <v>9</v>
      </c>
      <c r="G4" t="s">
        <v>19</v>
      </c>
      <c r="H4" t="s">
        <v>20</v>
      </c>
      <c r="I4" s="4">
        <f ca="1">ROUND(YEARFRAC(TODAY(),J4),2)</f>
        <v>1.82</v>
      </c>
      <c r="J4" s="1">
        <v>46877</v>
      </c>
    </row>
    <row r="5" spans="1:10" x14ac:dyDescent="0.3">
      <c r="A5" t="s">
        <v>25</v>
      </c>
      <c r="B5" t="s">
        <v>21</v>
      </c>
      <c r="C5" t="s">
        <v>24</v>
      </c>
      <c r="D5" s="2">
        <v>0.1125</v>
      </c>
      <c r="E5" s="3" t="s">
        <v>23</v>
      </c>
      <c r="F5" t="s">
        <v>22</v>
      </c>
      <c r="G5" t="s">
        <v>26</v>
      </c>
      <c r="H5" t="s">
        <v>27</v>
      </c>
      <c r="I5" s="4">
        <f ca="1">ROUND(YEARFRAC(TODAY(),J5),2)</f>
        <v>1.5</v>
      </c>
      <c r="J5" s="1">
        <v>46760</v>
      </c>
    </row>
    <row r="6" spans="1:10" x14ac:dyDescent="0.3">
      <c r="A6" t="s">
        <v>30</v>
      </c>
      <c r="B6" t="s">
        <v>28</v>
      </c>
      <c r="C6" t="s">
        <v>24</v>
      </c>
      <c r="D6" s="2">
        <v>0.1115</v>
      </c>
      <c r="E6" s="3" t="s">
        <v>29</v>
      </c>
      <c r="F6" t="s">
        <v>9</v>
      </c>
      <c r="G6" t="s">
        <v>26</v>
      </c>
      <c r="H6" t="s">
        <v>31</v>
      </c>
      <c r="I6" s="4">
        <f ca="1">ROUND(YEARFRAC(TODAY(),J6),2)</f>
        <v>1.92</v>
      </c>
      <c r="J6" s="1">
        <v>46913</v>
      </c>
    </row>
    <row r="7" spans="1:10" x14ac:dyDescent="0.3">
      <c r="A7" t="s">
        <v>34</v>
      </c>
      <c r="B7" t="s">
        <v>32</v>
      </c>
      <c r="C7" t="s">
        <v>24</v>
      </c>
      <c r="D7" s="2">
        <v>0.11119999999999999</v>
      </c>
      <c r="E7" s="3" t="s">
        <v>33</v>
      </c>
      <c r="F7" t="s">
        <v>9</v>
      </c>
      <c r="G7" t="s">
        <v>26</v>
      </c>
      <c r="H7" t="s">
        <v>35</v>
      </c>
      <c r="I7" s="4">
        <f ca="1">ROUND(YEARFRAC(TODAY(),J7),2)</f>
        <v>1.99</v>
      </c>
      <c r="J7" s="1">
        <v>46938</v>
      </c>
    </row>
    <row r="8" spans="1:10" x14ac:dyDescent="0.3">
      <c r="A8" t="s">
        <v>40</v>
      </c>
      <c r="B8" t="s">
        <v>36</v>
      </c>
      <c r="C8" t="s">
        <v>39</v>
      </c>
      <c r="D8" s="2">
        <v>8.5000000000000006E-2</v>
      </c>
      <c r="E8" s="3" t="s">
        <v>38</v>
      </c>
      <c r="F8" t="s">
        <v>37</v>
      </c>
      <c r="G8" t="s">
        <v>41</v>
      </c>
      <c r="H8" t="s">
        <v>42</v>
      </c>
      <c r="I8" s="4">
        <f ca="1">ROUND(YEARFRAC(TODAY(),J8),2)</f>
        <v>9.81</v>
      </c>
      <c r="J8" s="1">
        <v>49793</v>
      </c>
    </row>
    <row r="9" spans="1:10" x14ac:dyDescent="0.3">
      <c r="A9" t="s">
        <v>46</v>
      </c>
      <c r="B9" t="s">
        <v>43</v>
      </c>
      <c r="C9" t="s">
        <v>45</v>
      </c>
      <c r="D9" s="2">
        <v>0.14000000000000001</v>
      </c>
      <c r="E9" s="3" t="s">
        <v>44</v>
      </c>
      <c r="F9" t="s">
        <v>22</v>
      </c>
      <c r="G9" t="s">
        <v>47</v>
      </c>
      <c r="H9" t="s">
        <v>48</v>
      </c>
      <c r="I9" s="4">
        <f ca="1">ROUND(YEARFRAC(TODAY(),J9),2)</f>
        <v>2.73</v>
      </c>
      <c r="J9" s="1">
        <v>47207</v>
      </c>
    </row>
    <row r="10" spans="1:10" x14ac:dyDescent="0.3">
      <c r="A10" t="s">
        <v>52</v>
      </c>
      <c r="B10" t="s">
        <v>49</v>
      </c>
      <c r="C10" t="s">
        <v>51</v>
      </c>
      <c r="D10" s="2">
        <v>7.4499999999999997E-2</v>
      </c>
      <c r="E10" s="3" t="s">
        <v>50</v>
      </c>
      <c r="F10" t="s">
        <v>37</v>
      </c>
      <c r="G10" t="s">
        <v>53</v>
      </c>
      <c r="H10" t="s">
        <v>54</v>
      </c>
      <c r="I10" s="4">
        <f ca="1">ROUND(YEARFRAC(TODAY(),J10),2)</f>
        <v>5.09</v>
      </c>
      <c r="J10" s="1">
        <v>48072</v>
      </c>
    </row>
    <row r="11" spans="1:10" x14ac:dyDescent="0.3">
      <c r="A11" t="s">
        <v>58</v>
      </c>
      <c r="B11" t="s">
        <v>55</v>
      </c>
      <c r="C11" t="s">
        <v>57</v>
      </c>
      <c r="D11" s="2">
        <v>8.7499999999999994E-2</v>
      </c>
      <c r="E11" s="3" t="s">
        <v>56</v>
      </c>
      <c r="F11" t="s">
        <v>37</v>
      </c>
      <c r="G11" t="s">
        <v>59</v>
      </c>
      <c r="H11" t="s">
        <v>60</v>
      </c>
      <c r="I11" s="4">
        <f ca="1">ROUND(YEARFRAC(TODAY(),J11),2)</f>
        <v>1.17</v>
      </c>
      <c r="J11" s="1">
        <v>46640</v>
      </c>
    </row>
    <row r="12" spans="1:10" x14ac:dyDescent="0.3">
      <c r="A12" t="s">
        <v>63</v>
      </c>
      <c r="B12" t="s">
        <v>61</v>
      </c>
      <c r="C12" t="s">
        <v>45</v>
      </c>
      <c r="D12" s="2">
        <v>0.15</v>
      </c>
      <c r="E12" s="3" t="s">
        <v>62</v>
      </c>
      <c r="F12" t="s">
        <v>22</v>
      </c>
      <c r="G12" t="s">
        <v>64</v>
      </c>
      <c r="H12" t="s">
        <v>65</v>
      </c>
      <c r="I12" s="4">
        <f ca="1">ROUND(YEARFRAC(TODAY(),J12),2)</f>
        <v>1.33</v>
      </c>
      <c r="J12" s="1">
        <v>46698</v>
      </c>
    </row>
    <row r="13" spans="1:10" x14ac:dyDescent="0.3">
      <c r="A13" t="s">
        <v>69</v>
      </c>
      <c r="B13" t="s">
        <v>66</v>
      </c>
      <c r="C13" t="s">
        <v>68</v>
      </c>
      <c r="D13" s="2">
        <v>0.128</v>
      </c>
      <c r="E13" s="3" t="s">
        <v>67</v>
      </c>
      <c r="F13" t="s">
        <v>22</v>
      </c>
      <c r="G13" t="s">
        <v>70</v>
      </c>
      <c r="H13" t="s">
        <v>71</v>
      </c>
      <c r="I13" s="4">
        <f ca="1">ROUND(YEARFRAC(TODAY(),J13),2)</f>
        <v>5.44</v>
      </c>
      <c r="J13" s="1">
        <v>48199</v>
      </c>
    </row>
    <row r="14" spans="1:10" x14ac:dyDescent="0.3">
      <c r="A14" t="s">
        <v>74</v>
      </c>
      <c r="B14" t="s">
        <v>72</v>
      </c>
      <c r="C14" t="s">
        <v>24</v>
      </c>
      <c r="D14" s="2">
        <v>0.1115</v>
      </c>
      <c r="E14" s="3" t="s">
        <v>73</v>
      </c>
      <c r="F14" t="s">
        <v>22</v>
      </c>
      <c r="G14" t="s">
        <v>75</v>
      </c>
      <c r="H14" t="s">
        <v>76</v>
      </c>
      <c r="I14" s="4">
        <f ca="1">ROUND(YEARFRAC(TODAY(),J14),2)</f>
        <v>2.54</v>
      </c>
      <c r="J14" s="1">
        <v>47141</v>
      </c>
    </row>
    <row r="15" spans="1:10" x14ac:dyDescent="0.3">
      <c r="A15" t="s">
        <v>79</v>
      </c>
      <c r="B15" t="s">
        <v>77</v>
      </c>
      <c r="C15" t="s">
        <v>24</v>
      </c>
      <c r="D15" s="2">
        <v>0.1145</v>
      </c>
      <c r="E15" s="3" t="s">
        <v>78</v>
      </c>
      <c r="F15" t="s">
        <v>22</v>
      </c>
      <c r="G15" t="s">
        <v>75</v>
      </c>
      <c r="H15" t="s">
        <v>80</v>
      </c>
      <c r="I15" s="4">
        <f ca="1">ROUND(YEARFRAC(TODAY(),J15),2)</f>
        <v>1.78</v>
      </c>
      <c r="J15" s="1">
        <v>46860</v>
      </c>
    </row>
    <row r="16" spans="1:10" x14ac:dyDescent="0.3">
      <c r="A16" t="s">
        <v>83</v>
      </c>
      <c r="B16" t="s">
        <v>81</v>
      </c>
      <c r="C16" t="s">
        <v>24</v>
      </c>
      <c r="D16" s="2">
        <v>0.13300000000000001</v>
      </c>
      <c r="E16" s="3" t="s">
        <v>82</v>
      </c>
      <c r="F16" t="s">
        <v>22</v>
      </c>
      <c r="G16" t="s">
        <v>75</v>
      </c>
      <c r="H16" t="s">
        <v>84</v>
      </c>
      <c r="I16" s="4">
        <f ca="1">ROUND(YEARFRAC(TODAY(),J16),2)</f>
        <v>5.92</v>
      </c>
      <c r="J16" s="1">
        <v>48374</v>
      </c>
    </row>
    <row r="17" spans="1:10" x14ac:dyDescent="0.3">
      <c r="A17" t="s">
        <v>87</v>
      </c>
      <c r="B17" t="s">
        <v>85</v>
      </c>
      <c r="C17" t="s">
        <v>57</v>
      </c>
      <c r="D17" s="2">
        <v>8.5000000000000006E-2</v>
      </c>
      <c r="E17" s="3" t="s">
        <v>86</v>
      </c>
      <c r="F17" t="s">
        <v>37</v>
      </c>
      <c r="G17" t="s">
        <v>88</v>
      </c>
      <c r="H17" t="s">
        <v>89</v>
      </c>
      <c r="I17" s="4">
        <f ca="1">ROUND(YEARFRAC(TODAY(),J17),2)</f>
        <v>1.93</v>
      </c>
      <c r="J17" s="1">
        <v>46916</v>
      </c>
    </row>
    <row r="18" spans="1:10" x14ac:dyDescent="0.3">
      <c r="A18" t="s">
        <v>93</v>
      </c>
      <c r="B18" t="s">
        <v>90</v>
      </c>
      <c r="C18" t="s">
        <v>92</v>
      </c>
      <c r="D18" s="2">
        <v>0.15</v>
      </c>
      <c r="E18" s="3" t="s">
        <v>91</v>
      </c>
      <c r="F18" t="s">
        <v>22</v>
      </c>
      <c r="G18" t="s">
        <v>94</v>
      </c>
      <c r="H18" t="s">
        <v>95</v>
      </c>
      <c r="I18" s="4">
        <f ca="1">ROUND(YEARFRAC(TODAY(),J18),2)</f>
        <v>1.03</v>
      </c>
      <c r="J18" s="1">
        <v>46587</v>
      </c>
    </row>
    <row r="19" spans="1:10" x14ac:dyDescent="0.3">
      <c r="A19" t="s">
        <v>98</v>
      </c>
      <c r="B19" t="s">
        <v>96</v>
      </c>
      <c r="C19" t="s">
        <v>92</v>
      </c>
      <c r="D19" s="2">
        <v>0.13800000000000001</v>
      </c>
      <c r="E19" s="3" t="s">
        <v>97</v>
      </c>
      <c r="F19" t="s">
        <v>22</v>
      </c>
      <c r="G19" t="s">
        <v>99</v>
      </c>
      <c r="H19" t="s">
        <v>100</v>
      </c>
      <c r="I19" s="4">
        <f ca="1">ROUND(YEARFRAC(TODAY(),J19),2)</f>
        <v>3.7</v>
      </c>
      <c r="J19" s="1">
        <v>47562</v>
      </c>
    </row>
    <row r="20" spans="1:10" x14ac:dyDescent="0.3">
      <c r="A20" t="s">
        <v>103</v>
      </c>
      <c r="B20" t="s">
        <v>101</v>
      </c>
      <c r="C20" t="s">
        <v>17</v>
      </c>
      <c r="D20" s="2">
        <v>0.1105</v>
      </c>
      <c r="E20" s="3" t="s">
        <v>102</v>
      </c>
      <c r="F20" t="s">
        <v>9</v>
      </c>
      <c r="G20" t="s">
        <v>104</v>
      </c>
      <c r="H20" t="s">
        <v>105</v>
      </c>
      <c r="I20" s="4">
        <f ca="1">ROUND(YEARFRAC(TODAY(),J20),2)</f>
        <v>2.81</v>
      </c>
      <c r="J20" s="1">
        <v>47236</v>
      </c>
    </row>
    <row r="21" spans="1:10" x14ac:dyDescent="0.3">
      <c r="A21" t="s">
        <v>108</v>
      </c>
      <c r="B21" t="s">
        <v>106</v>
      </c>
      <c r="C21" t="s">
        <v>24</v>
      </c>
      <c r="D21" s="2">
        <v>0.13200000000000001</v>
      </c>
      <c r="E21" s="3" t="s">
        <v>107</v>
      </c>
      <c r="F21" t="s">
        <v>22</v>
      </c>
      <c r="G21" t="s">
        <v>109</v>
      </c>
      <c r="H21" t="s">
        <v>110</v>
      </c>
      <c r="I21" s="4">
        <f ca="1">ROUND(YEARFRAC(TODAY(),J21),2)</f>
        <v>2.56</v>
      </c>
      <c r="J21" s="1">
        <v>47148</v>
      </c>
    </row>
    <row r="22" spans="1:10" x14ac:dyDescent="0.3">
      <c r="A22" t="s">
        <v>113</v>
      </c>
      <c r="B22" t="s">
        <v>111</v>
      </c>
      <c r="C22" t="s">
        <v>92</v>
      </c>
      <c r="D22" s="2">
        <v>0.12620000000000001</v>
      </c>
      <c r="E22" s="3" t="s">
        <v>112</v>
      </c>
      <c r="F22" t="s">
        <v>22</v>
      </c>
      <c r="G22" t="s">
        <v>114</v>
      </c>
      <c r="H22" t="s">
        <v>115</v>
      </c>
      <c r="I22" s="4">
        <f ca="1">ROUND(YEARFRAC(TODAY(),J22),2)</f>
        <v>1.87</v>
      </c>
      <c r="J22" s="1">
        <v>46894</v>
      </c>
    </row>
    <row r="23" spans="1:10" x14ac:dyDescent="0.3">
      <c r="A23" t="s">
        <v>118</v>
      </c>
      <c r="B23" t="s">
        <v>116</v>
      </c>
      <c r="C23" t="s">
        <v>68</v>
      </c>
      <c r="D23" s="2">
        <v>0.13500000000000001</v>
      </c>
      <c r="E23" s="3" t="s">
        <v>117</v>
      </c>
      <c r="F23" t="s">
        <v>22</v>
      </c>
      <c r="G23" t="s">
        <v>119</v>
      </c>
      <c r="H23" t="s">
        <v>120</v>
      </c>
      <c r="I23" s="4">
        <f ca="1">ROUND(YEARFRAC(TODAY(),J23),2)</f>
        <v>0.88</v>
      </c>
      <c r="J23" s="1">
        <v>46533</v>
      </c>
    </row>
    <row r="24" spans="1:10" x14ac:dyDescent="0.3">
      <c r="A24" t="s">
        <v>123</v>
      </c>
      <c r="B24" t="s">
        <v>121</v>
      </c>
      <c r="C24" t="s">
        <v>11</v>
      </c>
      <c r="D24" s="2">
        <v>0.111</v>
      </c>
      <c r="E24" s="3" t="s">
        <v>122</v>
      </c>
      <c r="F24" t="s">
        <v>22</v>
      </c>
      <c r="G24" t="s">
        <v>124</v>
      </c>
      <c r="H24" t="s">
        <v>125</v>
      </c>
      <c r="I24" s="4">
        <f ca="1">ROUND(YEARFRAC(TODAY(),J24),2)</f>
        <v>1.94</v>
      </c>
      <c r="J24" s="1">
        <v>46921</v>
      </c>
    </row>
    <row r="25" spans="1:10" x14ac:dyDescent="0.3">
      <c r="A25" t="s">
        <v>129</v>
      </c>
      <c r="B25" t="s">
        <v>126</v>
      </c>
      <c r="C25" t="s">
        <v>51</v>
      </c>
      <c r="D25" s="2">
        <v>0.08</v>
      </c>
      <c r="E25" s="3" t="s">
        <v>128</v>
      </c>
      <c r="F25" t="s">
        <v>127</v>
      </c>
      <c r="G25" t="s">
        <v>130</v>
      </c>
      <c r="H25" t="s">
        <v>131</v>
      </c>
      <c r="I25" s="4">
        <f ca="1">ROUND(YEARFRAC(TODAY(),J25),2)</f>
        <v>0.73</v>
      </c>
      <c r="J25" s="1">
        <v>46476</v>
      </c>
    </row>
    <row r="26" spans="1:10" x14ac:dyDescent="0.3">
      <c r="A26" t="s">
        <v>134</v>
      </c>
      <c r="B26" t="s">
        <v>132</v>
      </c>
      <c r="C26" t="s">
        <v>24</v>
      </c>
      <c r="D26" s="2">
        <v>0.11550000000000001</v>
      </c>
      <c r="E26" s="3" t="s">
        <v>133</v>
      </c>
      <c r="F26" t="s">
        <v>9</v>
      </c>
      <c r="G26" t="s">
        <v>135</v>
      </c>
      <c r="H26" t="s">
        <v>136</v>
      </c>
      <c r="I26" s="4">
        <f ca="1">ROUND(YEARFRAC(TODAY(),J26),2)</f>
        <v>2.21</v>
      </c>
      <c r="J26" s="1">
        <v>47021</v>
      </c>
    </row>
    <row r="27" spans="1:10" x14ac:dyDescent="0.3">
      <c r="A27" t="s">
        <v>139</v>
      </c>
      <c r="B27" t="s">
        <v>137</v>
      </c>
      <c r="C27" t="s">
        <v>39</v>
      </c>
      <c r="D27" s="2">
        <v>8.1000000000000003E-2</v>
      </c>
      <c r="E27" s="3" t="s">
        <v>138</v>
      </c>
      <c r="F27" t="s">
        <v>37</v>
      </c>
      <c r="G27" t="s">
        <v>140</v>
      </c>
      <c r="H27" t="s">
        <v>141</v>
      </c>
      <c r="I27" s="4">
        <f ca="1">ROUND(YEARFRAC(TODAY(),J27),2)</f>
        <v>3.83</v>
      </c>
      <c r="J27" s="1">
        <v>47609</v>
      </c>
    </row>
    <row r="28" spans="1:10" x14ac:dyDescent="0.3">
      <c r="A28" t="s">
        <v>144</v>
      </c>
      <c r="B28" t="s">
        <v>142</v>
      </c>
      <c r="C28" t="s">
        <v>68</v>
      </c>
      <c r="D28" s="2">
        <v>0.11849999999999999</v>
      </c>
      <c r="E28" s="3" t="s">
        <v>143</v>
      </c>
      <c r="F28" t="s">
        <v>22</v>
      </c>
      <c r="G28" t="s">
        <v>145</v>
      </c>
      <c r="H28" t="s">
        <v>146</v>
      </c>
      <c r="I28" s="4">
        <f ca="1">ROUND(YEARFRAC(TODAY(),J28),2)</f>
        <v>2.13</v>
      </c>
      <c r="J28" s="1">
        <v>46991</v>
      </c>
    </row>
    <row r="29" spans="1:10" x14ac:dyDescent="0.3">
      <c r="A29" t="s">
        <v>148</v>
      </c>
      <c r="B29" t="s">
        <v>147</v>
      </c>
      <c r="C29" t="s">
        <v>68</v>
      </c>
      <c r="D29" s="2">
        <v>0.13200000000000001</v>
      </c>
      <c r="E29" s="3" t="s">
        <v>62</v>
      </c>
      <c r="F29" t="s">
        <v>22</v>
      </c>
      <c r="G29" t="s">
        <v>149</v>
      </c>
      <c r="H29" t="s">
        <v>150</v>
      </c>
      <c r="I29" s="4">
        <f ca="1">ROUND(YEARFRAC(TODAY(),J29),2)</f>
        <v>2.56</v>
      </c>
      <c r="J29" s="1">
        <v>47148</v>
      </c>
    </row>
    <row r="30" spans="1:10" x14ac:dyDescent="0.3">
      <c r="A30" t="s">
        <v>154</v>
      </c>
      <c r="B30" t="s">
        <v>151</v>
      </c>
      <c r="C30" t="s">
        <v>153</v>
      </c>
      <c r="D30" s="2">
        <v>9.2700000000000005E-2</v>
      </c>
      <c r="E30" s="3" t="s">
        <v>152</v>
      </c>
      <c r="F30" t="s">
        <v>22</v>
      </c>
      <c r="G30" t="s">
        <v>155</v>
      </c>
      <c r="H30" t="s">
        <v>156</v>
      </c>
      <c r="I30" s="4">
        <f ca="1">ROUND(YEARFRAC(TODAY(),J30),2)</f>
        <v>2.81</v>
      </c>
      <c r="J30" s="1">
        <v>47238</v>
      </c>
    </row>
    <row r="31" spans="1:10" x14ac:dyDescent="0.3">
      <c r="A31" t="s">
        <v>159</v>
      </c>
      <c r="B31" t="s">
        <v>157</v>
      </c>
      <c r="C31" t="s">
        <v>24</v>
      </c>
      <c r="D31" s="2">
        <v>0.11</v>
      </c>
      <c r="E31" s="3" t="s">
        <v>158</v>
      </c>
      <c r="F31" t="s">
        <v>9</v>
      </c>
      <c r="G31" t="s">
        <v>160</v>
      </c>
      <c r="H31" t="s">
        <v>161</v>
      </c>
      <c r="I31" s="4">
        <f ca="1">ROUND(YEARFRAC(TODAY(),J31),2)</f>
        <v>1.1499999999999999</v>
      </c>
      <c r="J31" s="1">
        <v>46632</v>
      </c>
    </row>
    <row r="32" spans="1:10" x14ac:dyDescent="0.3">
      <c r="A32" t="s">
        <v>164</v>
      </c>
      <c r="B32" t="s">
        <v>162</v>
      </c>
      <c r="C32" t="s">
        <v>24</v>
      </c>
      <c r="D32" s="2">
        <v>0.1105</v>
      </c>
      <c r="E32" s="3" t="s">
        <v>163</v>
      </c>
      <c r="F32" t="s">
        <v>9</v>
      </c>
      <c r="G32" t="s">
        <v>160</v>
      </c>
      <c r="H32" t="s">
        <v>165</v>
      </c>
      <c r="I32" s="4">
        <f ca="1">ROUND(YEARFRAC(TODAY(),J32),2)</f>
        <v>1.98</v>
      </c>
      <c r="J32" s="1">
        <v>46934</v>
      </c>
    </row>
    <row r="33" spans="1:10" x14ac:dyDescent="0.3">
      <c r="A33" t="s">
        <v>168</v>
      </c>
      <c r="B33" t="s">
        <v>166</v>
      </c>
      <c r="C33" t="s">
        <v>24</v>
      </c>
      <c r="D33" s="2">
        <v>0.115</v>
      </c>
      <c r="E33" s="3" t="s">
        <v>167</v>
      </c>
      <c r="F33" t="s">
        <v>9</v>
      </c>
      <c r="G33" t="s">
        <v>169</v>
      </c>
      <c r="H33" t="s">
        <v>170</v>
      </c>
      <c r="I33" s="4">
        <f ca="1">ROUND(YEARFRAC(TODAY(),J33),2)</f>
        <v>1.79</v>
      </c>
      <c r="J33" s="1">
        <v>46867</v>
      </c>
    </row>
    <row r="34" spans="1:10" x14ac:dyDescent="0.3">
      <c r="A34" t="s">
        <v>173</v>
      </c>
      <c r="B34" t="s">
        <v>171</v>
      </c>
      <c r="C34" t="s">
        <v>153</v>
      </c>
      <c r="D34" s="2">
        <v>8.8999999999999996E-2</v>
      </c>
      <c r="E34" s="3" t="s">
        <v>172</v>
      </c>
      <c r="F34" t="s">
        <v>9</v>
      </c>
      <c r="G34" t="s">
        <v>174</v>
      </c>
      <c r="H34" t="s">
        <v>175</v>
      </c>
      <c r="I34" s="4">
        <f ca="1">ROUND(YEARFRAC(TODAY(),J34),2)</f>
        <v>4.5599999999999996</v>
      </c>
      <c r="J34" s="1">
        <v>47878</v>
      </c>
    </row>
    <row r="35" spans="1:10" x14ac:dyDescent="0.3">
      <c r="A35" t="s">
        <v>178</v>
      </c>
      <c r="B35" t="s">
        <v>176</v>
      </c>
      <c r="C35" t="s">
        <v>45</v>
      </c>
      <c r="D35" s="2">
        <v>0.123</v>
      </c>
      <c r="E35" s="3" t="s">
        <v>177</v>
      </c>
      <c r="F35" t="s">
        <v>22</v>
      </c>
      <c r="G35" t="s">
        <v>179</v>
      </c>
      <c r="H35" t="s">
        <v>180</v>
      </c>
      <c r="I35" s="4">
        <f ca="1">ROUND(YEARFRAC(TODAY(),J35),2)</f>
        <v>1.27</v>
      </c>
      <c r="J35" s="1">
        <v>46676</v>
      </c>
    </row>
    <row r="36" spans="1:10" x14ac:dyDescent="0.3">
      <c r="A36" t="s">
        <v>183</v>
      </c>
      <c r="B36" t="s">
        <v>181</v>
      </c>
      <c r="C36" t="s">
        <v>45</v>
      </c>
      <c r="D36" s="2">
        <v>0.123</v>
      </c>
      <c r="E36" s="3" t="s">
        <v>182</v>
      </c>
      <c r="F36" t="s">
        <v>22</v>
      </c>
      <c r="G36" t="s">
        <v>179</v>
      </c>
      <c r="H36" t="s">
        <v>184</v>
      </c>
      <c r="I36" s="4">
        <f ca="1">ROUND(YEARFRAC(TODAY(),J36),2)</f>
        <v>1.39</v>
      </c>
      <c r="J36" s="1">
        <v>46719</v>
      </c>
    </row>
    <row r="37" spans="1:10" x14ac:dyDescent="0.3">
      <c r="A37" t="s">
        <v>187</v>
      </c>
      <c r="B37" t="s">
        <v>185</v>
      </c>
      <c r="C37" t="s">
        <v>45</v>
      </c>
      <c r="D37" s="2">
        <v>0.123</v>
      </c>
      <c r="E37" s="3" t="s">
        <v>186</v>
      </c>
      <c r="F37" t="s">
        <v>22</v>
      </c>
      <c r="G37" t="s">
        <v>179</v>
      </c>
      <c r="H37" t="s">
        <v>188</v>
      </c>
      <c r="I37" s="4">
        <f ca="1">ROUND(YEARFRAC(TODAY(),J37),2)</f>
        <v>1.75</v>
      </c>
      <c r="J37" s="1">
        <v>46851</v>
      </c>
    </row>
    <row r="38" spans="1:10" x14ac:dyDescent="0.3">
      <c r="A38" t="s">
        <v>190</v>
      </c>
      <c r="B38" t="s">
        <v>189</v>
      </c>
      <c r="C38" t="s">
        <v>57</v>
      </c>
      <c r="D38" s="2">
        <v>9.2499999999999999E-2</v>
      </c>
      <c r="E38" s="3" t="s">
        <v>73</v>
      </c>
      <c r="F38" t="s">
        <v>9</v>
      </c>
      <c r="G38" t="s">
        <v>191</v>
      </c>
      <c r="H38" t="s">
        <v>192</v>
      </c>
      <c r="I38" s="4">
        <f ca="1">ROUND(YEARFRAC(TODAY(),J38),2)</f>
        <v>1.41</v>
      </c>
      <c r="J38" s="1">
        <v>46727</v>
      </c>
    </row>
    <row r="39" spans="1:10" x14ac:dyDescent="0.3">
      <c r="A39" t="s">
        <v>195</v>
      </c>
      <c r="B39" t="s">
        <v>193</v>
      </c>
      <c r="C39" t="s">
        <v>57</v>
      </c>
      <c r="D39" s="2">
        <v>9.2499999999999999E-2</v>
      </c>
      <c r="E39" s="3" t="s">
        <v>194</v>
      </c>
      <c r="F39" t="s">
        <v>9</v>
      </c>
      <c r="G39" t="s">
        <v>191</v>
      </c>
      <c r="H39" t="s">
        <v>196</v>
      </c>
      <c r="I39" s="4">
        <f ca="1">ROUND(YEARFRAC(TODAY(),J39),2)</f>
        <v>1.66</v>
      </c>
      <c r="J39" s="1">
        <v>46818</v>
      </c>
    </row>
    <row r="40" spans="1:10" x14ac:dyDescent="0.3">
      <c r="A40" t="s">
        <v>199</v>
      </c>
      <c r="B40" t="s">
        <v>197</v>
      </c>
      <c r="C40" t="s">
        <v>57</v>
      </c>
      <c r="D40" s="2">
        <v>9.4E-2</v>
      </c>
      <c r="E40" s="3" t="s">
        <v>198</v>
      </c>
      <c r="F40" t="s">
        <v>9</v>
      </c>
      <c r="G40" t="s">
        <v>191</v>
      </c>
      <c r="H40" t="s">
        <v>200</v>
      </c>
      <c r="I40" s="4">
        <f ca="1">ROUND(YEARFRAC(TODAY(),J40),2)</f>
        <v>1.93</v>
      </c>
      <c r="J40" s="1">
        <v>46916</v>
      </c>
    </row>
    <row r="41" spans="1:10" x14ac:dyDescent="0.3">
      <c r="A41" t="s">
        <v>203</v>
      </c>
      <c r="B41" t="s">
        <v>201</v>
      </c>
      <c r="C41" t="s">
        <v>11</v>
      </c>
      <c r="D41" s="2">
        <v>0.106</v>
      </c>
      <c r="E41" s="3" t="s">
        <v>202</v>
      </c>
      <c r="F41" t="s">
        <v>22</v>
      </c>
      <c r="G41" t="s">
        <v>204</v>
      </c>
      <c r="H41" t="s">
        <v>205</v>
      </c>
      <c r="I41" s="4">
        <f ca="1">ROUND(YEARFRAC(TODAY(),J41),2)</f>
        <v>2.48</v>
      </c>
      <c r="J41" s="1">
        <v>47118</v>
      </c>
    </row>
    <row r="42" spans="1:10" x14ac:dyDescent="0.3">
      <c r="A42" t="s">
        <v>208</v>
      </c>
      <c r="B42" t="s">
        <v>206</v>
      </c>
      <c r="C42" t="s">
        <v>11</v>
      </c>
      <c r="D42" s="2">
        <v>0.11</v>
      </c>
      <c r="E42" s="3" t="s">
        <v>207</v>
      </c>
      <c r="F42" t="s">
        <v>22</v>
      </c>
      <c r="G42" t="s">
        <v>204</v>
      </c>
      <c r="H42" t="s">
        <v>209</v>
      </c>
      <c r="I42" s="4">
        <f ca="1">ROUND(YEARFRAC(TODAY(),J42),2)</f>
        <v>1.9</v>
      </c>
      <c r="J42" s="1">
        <v>46904</v>
      </c>
    </row>
    <row r="43" spans="1:10" x14ac:dyDescent="0.3">
      <c r="A43" t="s">
        <v>212</v>
      </c>
      <c r="B43" t="s">
        <v>210</v>
      </c>
      <c r="C43" t="s">
        <v>11</v>
      </c>
      <c r="D43" s="2">
        <v>0.11</v>
      </c>
      <c r="E43" s="3" t="s">
        <v>211</v>
      </c>
      <c r="F43" t="s">
        <v>22</v>
      </c>
      <c r="G43" t="s">
        <v>204</v>
      </c>
      <c r="H43" t="s">
        <v>213</v>
      </c>
      <c r="I43" s="4">
        <f ca="1">ROUND(YEARFRAC(TODAY(),J43),2)</f>
        <v>1.73</v>
      </c>
      <c r="J43" s="1">
        <v>46843</v>
      </c>
    </row>
    <row r="44" spans="1:10" x14ac:dyDescent="0.3">
      <c r="A44" t="s">
        <v>216</v>
      </c>
      <c r="B44" t="s">
        <v>214</v>
      </c>
      <c r="C44" t="s">
        <v>11</v>
      </c>
      <c r="D44" s="2">
        <v>0.1105</v>
      </c>
      <c r="E44" s="3" t="s">
        <v>215</v>
      </c>
      <c r="F44" t="s">
        <v>22</v>
      </c>
      <c r="G44" t="s">
        <v>204</v>
      </c>
      <c r="H44" t="s">
        <v>217</v>
      </c>
      <c r="I44" s="4">
        <f ca="1">ROUND(YEARFRAC(TODAY(),J44),2)</f>
        <v>3.15</v>
      </c>
      <c r="J44" s="1">
        <v>47361</v>
      </c>
    </row>
    <row r="45" spans="1:10" x14ac:dyDescent="0.3">
      <c r="A45" t="s">
        <v>220</v>
      </c>
      <c r="B45" t="s">
        <v>218</v>
      </c>
      <c r="C45" t="s">
        <v>11</v>
      </c>
      <c r="D45" s="2">
        <v>0.1085</v>
      </c>
      <c r="E45" s="3" t="s">
        <v>219</v>
      </c>
      <c r="F45" t="s">
        <v>9</v>
      </c>
      <c r="G45" t="s">
        <v>221</v>
      </c>
      <c r="H45" t="s">
        <v>222</v>
      </c>
      <c r="I45" s="4">
        <f ca="1">ROUND(YEARFRAC(TODAY(),J45),2)</f>
        <v>2.5299999999999998</v>
      </c>
      <c r="J45" s="1">
        <v>47138</v>
      </c>
    </row>
    <row r="46" spans="1:10" x14ac:dyDescent="0.3">
      <c r="A46" t="s">
        <v>225</v>
      </c>
      <c r="B46" t="s">
        <v>223</v>
      </c>
      <c r="C46" t="s">
        <v>11</v>
      </c>
      <c r="D46" s="2">
        <v>0.1125</v>
      </c>
      <c r="E46" s="3" t="s">
        <v>224</v>
      </c>
      <c r="F46" t="s">
        <v>9</v>
      </c>
      <c r="G46" t="s">
        <v>221</v>
      </c>
      <c r="H46" t="s">
        <v>226</v>
      </c>
      <c r="I46" s="4">
        <f ca="1">ROUND(YEARFRAC(TODAY(),J46),2)</f>
        <v>1.42</v>
      </c>
      <c r="J46" s="1">
        <v>46730</v>
      </c>
    </row>
    <row r="47" spans="1:10" x14ac:dyDescent="0.3">
      <c r="A47" t="s">
        <v>229</v>
      </c>
      <c r="B47" t="s">
        <v>227</v>
      </c>
      <c r="C47" t="s">
        <v>17</v>
      </c>
      <c r="D47" s="2">
        <v>0.10299999999999999</v>
      </c>
      <c r="E47" s="3" t="s">
        <v>228</v>
      </c>
      <c r="F47" t="s">
        <v>22</v>
      </c>
      <c r="G47" t="s">
        <v>230</v>
      </c>
      <c r="H47" t="s">
        <v>231</v>
      </c>
      <c r="I47" s="4">
        <f ca="1">ROUND(YEARFRAC(TODAY(),J47),2)</f>
        <v>1.53</v>
      </c>
      <c r="J47" s="1">
        <v>46771</v>
      </c>
    </row>
    <row r="48" spans="1:10" x14ac:dyDescent="0.3">
      <c r="A48" t="s">
        <v>234</v>
      </c>
      <c r="B48" t="s">
        <v>232</v>
      </c>
      <c r="C48" t="s">
        <v>17</v>
      </c>
      <c r="D48" s="2">
        <v>0.105</v>
      </c>
      <c r="E48" s="3" t="s">
        <v>233</v>
      </c>
      <c r="F48" t="s">
        <v>22</v>
      </c>
      <c r="G48" t="s">
        <v>230</v>
      </c>
      <c r="H48" t="s">
        <v>235</v>
      </c>
      <c r="I48" s="4">
        <f ca="1">ROUND(YEARFRAC(TODAY(),J48),2)</f>
        <v>1.62</v>
      </c>
      <c r="J48" s="1">
        <v>46803</v>
      </c>
    </row>
    <row r="49" spans="1:10" x14ac:dyDescent="0.3">
      <c r="A49" t="s">
        <v>238</v>
      </c>
      <c r="B49" t="s">
        <v>236</v>
      </c>
      <c r="C49" t="s">
        <v>11</v>
      </c>
      <c r="D49" s="2">
        <v>0.1105</v>
      </c>
      <c r="E49" s="3" t="s">
        <v>237</v>
      </c>
      <c r="F49" t="s">
        <v>22</v>
      </c>
      <c r="G49" t="s">
        <v>239</v>
      </c>
      <c r="H49" t="s">
        <v>240</v>
      </c>
      <c r="I49" s="4">
        <f ca="1">ROUND(YEARFRAC(TODAY(),J49),2)</f>
        <v>2.89</v>
      </c>
      <c r="J49" s="1">
        <v>47265</v>
      </c>
    </row>
    <row r="50" spans="1:10" x14ac:dyDescent="0.3">
      <c r="A50" t="s">
        <v>243</v>
      </c>
      <c r="B50" t="s">
        <v>241</v>
      </c>
      <c r="C50" t="s">
        <v>11</v>
      </c>
      <c r="D50" s="2">
        <v>0.11749999999999999</v>
      </c>
      <c r="E50" s="3" t="s">
        <v>242</v>
      </c>
      <c r="F50" t="s">
        <v>22</v>
      </c>
      <c r="G50" t="s">
        <v>239</v>
      </c>
      <c r="H50" t="s">
        <v>244</v>
      </c>
      <c r="I50" s="4">
        <f ca="1">ROUND(YEARFRAC(TODAY(),J50),2)</f>
        <v>5.33</v>
      </c>
      <c r="J50" s="1">
        <v>48159</v>
      </c>
    </row>
    <row r="51" spans="1:10" x14ac:dyDescent="0.3">
      <c r="A51" t="s">
        <v>247</v>
      </c>
      <c r="B51" t="s">
        <v>245</v>
      </c>
      <c r="C51" t="s">
        <v>57</v>
      </c>
      <c r="D51" s="2">
        <v>0.1065</v>
      </c>
      <c r="E51" s="3" t="s">
        <v>246</v>
      </c>
      <c r="F51" t="s">
        <v>9</v>
      </c>
      <c r="G51" t="s">
        <v>248</v>
      </c>
      <c r="H51" t="s">
        <v>249</v>
      </c>
      <c r="I51" s="4">
        <f ca="1">ROUND(YEARFRAC(TODAY(),J51),2)</f>
        <v>2.1800000000000002</v>
      </c>
      <c r="J51" s="1">
        <v>47008</v>
      </c>
    </row>
    <row r="52" spans="1:10" x14ac:dyDescent="0.3">
      <c r="A52" t="s">
        <v>252</v>
      </c>
      <c r="B52" t="s">
        <v>250</v>
      </c>
      <c r="C52" t="s">
        <v>153</v>
      </c>
      <c r="D52" s="2">
        <v>0.105</v>
      </c>
      <c r="E52" s="3" t="s">
        <v>251</v>
      </c>
      <c r="F52" t="s">
        <v>9</v>
      </c>
      <c r="G52" t="s">
        <v>253</v>
      </c>
      <c r="H52" t="s">
        <v>254</v>
      </c>
      <c r="I52" s="4">
        <f ca="1">ROUND(YEARFRAC(TODAY(),J52),2)</f>
        <v>2.42</v>
      </c>
      <c r="J52" s="1">
        <v>47096</v>
      </c>
    </row>
    <row r="53" spans="1:10" x14ac:dyDescent="0.3">
      <c r="A53" t="s">
        <v>257</v>
      </c>
      <c r="B53" t="s">
        <v>255</v>
      </c>
      <c r="C53" t="s">
        <v>153</v>
      </c>
      <c r="D53" s="2">
        <v>0.10349999999999999</v>
      </c>
      <c r="E53" s="3" t="s">
        <v>256</v>
      </c>
      <c r="F53" t="s">
        <v>22</v>
      </c>
      <c r="G53" t="s">
        <v>253</v>
      </c>
      <c r="H53" t="s">
        <v>258</v>
      </c>
      <c r="I53" s="4">
        <f ca="1">ROUND(YEARFRAC(TODAY(),J53),2)</f>
        <v>2.19</v>
      </c>
      <c r="J53" s="1">
        <v>47014</v>
      </c>
    </row>
    <row r="54" spans="1:10" x14ac:dyDescent="0.3">
      <c r="A54" t="s">
        <v>261</v>
      </c>
      <c r="B54" t="s">
        <v>259</v>
      </c>
      <c r="C54" t="s">
        <v>57</v>
      </c>
      <c r="D54" s="2">
        <v>8.5000000000000006E-2</v>
      </c>
      <c r="E54" s="3" t="s">
        <v>260</v>
      </c>
      <c r="F54" t="s">
        <v>37</v>
      </c>
      <c r="G54" t="s">
        <v>262</v>
      </c>
      <c r="H54" t="s">
        <v>263</v>
      </c>
      <c r="I54" s="4">
        <f ca="1">ROUND(YEARFRAC(TODAY(),J54),2)</f>
        <v>1.51</v>
      </c>
      <c r="J54" s="1">
        <v>46764</v>
      </c>
    </row>
    <row r="55" spans="1:10" x14ac:dyDescent="0.3">
      <c r="A55" t="s">
        <v>265</v>
      </c>
      <c r="B55" t="s">
        <v>259</v>
      </c>
      <c r="C55" t="s">
        <v>57</v>
      </c>
      <c r="D55" s="2">
        <v>8.5000000000000006E-2</v>
      </c>
      <c r="E55" s="3" t="s">
        <v>264</v>
      </c>
      <c r="F55" t="s">
        <v>37</v>
      </c>
      <c r="G55" t="s">
        <v>262</v>
      </c>
      <c r="H55" t="s">
        <v>266</v>
      </c>
      <c r="I55" s="4">
        <f ca="1">ROUND(YEARFRAC(TODAY(),J55),2)</f>
        <v>1.51</v>
      </c>
      <c r="J55" s="1">
        <v>46764</v>
      </c>
    </row>
    <row r="56" spans="1:10" x14ac:dyDescent="0.3">
      <c r="A56" t="s">
        <v>269</v>
      </c>
      <c r="B56" t="s">
        <v>267</v>
      </c>
      <c r="C56" t="s">
        <v>57</v>
      </c>
      <c r="D56" s="2">
        <v>0.1055</v>
      </c>
      <c r="E56" s="3" t="s">
        <v>268</v>
      </c>
      <c r="F56" t="s">
        <v>37</v>
      </c>
      <c r="G56" t="s">
        <v>270</v>
      </c>
      <c r="H56" t="s">
        <v>271</v>
      </c>
      <c r="I56" s="4">
        <f ca="1">ROUND(YEARFRAC(TODAY(),J56),2)</f>
        <v>6.88</v>
      </c>
      <c r="J56" s="1">
        <v>48725</v>
      </c>
    </row>
    <row r="57" spans="1:10" x14ac:dyDescent="0.3">
      <c r="A57" t="s">
        <v>274</v>
      </c>
      <c r="B57" t="s">
        <v>272</v>
      </c>
      <c r="C57" t="s">
        <v>153</v>
      </c>
      <c r="D57" s="2">
        <v>9.1999999999999998E-2</v>
      </c>
      <c r="E57" s="3" t="s">
        <v>273</v>
      </c>
      <c r="F57" t="s">
        <v>127</v>
      </c>
      <c r="G57" t="s">
        <v>275</v>
      </c>
      <c r="H57" t="s">
        <v>276</v>
      </c>
      <c r="I57" s="4">
        <f ca="1">ROUND(YEARFRAC(TODAY(),J57),2)</f>
        <v>5.22</v>
      </c>
      <c r="J57" s="1">
        <v>48117</v>
      </c>
    </row>
    <row r="58" spans="1:10" x14ac:dyDescent="0.3">
      <c r="A58" t="s">
        <v>279</v>
      </c>
      <c r="B58" t="s">
        <v>277</v>
      </c>
      <c r="C58" t="s">
        <v>153</v>
      </c>
      <c r="D58" s="2">
        <v>8.5999999999999993E-2</v>
      </c>
      <c r="E58" s="3" t="s">
        <v>278</v>
      </c>
      <c r="F58" t="s">
        <v>37</v>
      </c>
      <c r="G58" t="s">
        <v>280</v>
      </c>
      <c r="H58" t="s">
        <v>281</v>
      </c>
      <c r="I58" s="4">
        <f ca="1">ROUND(YEARFRAC(TODAY(),J58),2)</f>
        <v>1.66</v>
      </c>
      <c r="J58" s="1">
        <v>46818</v>
      </c>
    </row>
    <row r="59" spans="1:10" x14ac:dyDescent="0.3">
      <c r="A59" t="s">
        <v>284</v>
      </c>
      <c r="B59" t="s">
        <v>282</v>
      </c>
      <c r="C59" t="s">
        <v>153</v>
      </c>
      <c r="D59" s="2">
        <v>9.1499999999999998E-2</v>
      </c>
      <c r="E59" s="3" t="s">
        <v>283</v>
      </c>
      <c r="F59" t="s">
        <v>22</v>
      </c>
      <c r="G59" t="s">
        <v>285</v>
      </c>
      <c r="H59" t="s">
        <v>286</v>
      </c>
      <c r="I59" s="4">
        <f ca="1">ROUND(YEARFRAC(TODAY(),J59),2)</f>
        <v>2.31</v>
      </c>
      <c r="J59" s="1">
        <v>47055</v>
      </c>
    </row>
    <row r="60" spans="1:10" x14ac:dyDescent="0.3">
      <c r="A60" t="s">
        <v>289</v>
      </c>
      <c r="B60" t="s">
        <v>287</v>
      </c>
      <c r="C60" t="s">
        <v>153</v>
      </c>
      <c r="D60" s="2">
        <v>9.1499999999999998E-2</v>
      </c>
      <c r="E60" s="3" t="s">
        <v>288</v>
      </c>
      <c r="F60" t="s">
        <v>22</v>
      </c>
      <c r="G60" t="s">
        <v>285</v>
      </c>
      <c r="H60" t="s">
        <v>290</v>
      </c>
      <c r="I60" s="4">
        <f ca="1">ROUND(YEARFRAC(TODAY(),J60),2)</f>
        <v>2.4300000000000002</v>
      </c>
      <c r="J60" s="1">
        <v>47099</v>
      </c>
    </row>
    <row r="61" spans="1:10" x14ac:dyDescent="0.3">
      <c r="A61" t="s">
        <v>293</v>
      </c>
      <c r="B61" t="s">
        <v>291</v>
      </c>
      <c r="C61" t="s">
        <v>153</v>
      </c>
      <c r="D61" s="2">
        <v>0.09</v>
      </c>
      <c r="E61" s="3" t="s">
        <v>292</v>
      </c>
      <c r="F61" t="s">
        <v>22</v>
      </c>
      <c r="G61" t="s">
        <v>285</v>
      </c>
      <c r="H61" t="s">
        <v>294</v>
      </c>
      <c r="I61" s="4">
        <f ca="1">ROUND(YEARFRAC(TODAY(),J61),2)</f>
        <v>2.66</v>
      </c>
      <c r="J61" s="1">
        <v>47183</v>
      </c>
    </row>
    <row r="62" spans="1:10" x14ac:dyDescent="0.3">
      <c r="A62" t="s">
        <v>297</v>
      </c>
      <c r="B62" t="s">
        <v>295</v>
      </c>
      <c r="C62" t="s">
        <v>153</v>
      </c>
      <c r="D62" s="2">
        <v>0.105</v>
      </c>
      <c r="E62" s="3" t="s">
        <v>296</v>
      </c>
      <c r="F62" t="s">
        <v>22</v>
      </c>
      <c r="G62" t="s">
        <v>285</v>
      </c>
      <c r="H62" t="s">
        <v>298</v>
      </c>
      <c r="I62" s="4">
        <f ca="1">ROUND(YEARFRAC(TODAY(),J62),2)</f>
        <v>7.48</v>
      </c>
      <c r="J62" s="1">
        <v>48943</v>
      </c>
    </row>
    <row r="63" spans="1:10" x14ac:dyDescent="0.3">
      <c r="A63" t="s">
        <v>301</v>
      </c>
      <c r="B63" t="s">
        <v>299</v>
      </c>
      <c r="C63" t="s">
        <v>17</v>
      </c>
      <c r="D63" s="2">
        <v>0.09</v>
      </c>
      <c r="E63" s="3" t="s">
        <v>300</v>
      </c>
      <c r="F63" t="s">
        <v>37</v>
      </c>
      <c r="G63" t="s">
        <v>302</v>
      </c>
      <c r="H63" t="s">
        <v>303</v>
      </c>
      <c r="I63" s="4">
        <f ca="1">ROUND(YEARFRAC(TODAY(),J63),2)</f>
        <v>0.28999999999999998</v>
      </c>
      <c r="J63" s="1">
        <v>46319</v>
      </c>
    </row>
    <row r="64" spans="1:10" x14ac:dyDescent="0.3">
      <c r="A64" t="s">
        <v>306</v>
      </c>
      <c r="B64" t="s">
        <v>304</v>
      </c>
      <c r="C64" t="s">
        <v>17</v>
      </c>
      <c r="D64" s="2">
        <v>0.1055</v>
      </c>
      <c r="E64" s="3" t="s">
        <v>305</v>
      </c>
      <c r="F64" t="s">
        <v>22</v>
      </c>
      <c r="G64" t="s">
        <v>302</v>
      </c>
      <c r="H64" t="s">
        <v>307</v>
      </c>
      <c r="I64" s="4">
        <f ca="1">ROUND(YEARFRAC(TODAY(),J64),2)</f>
        <v>2.94</v>
      </c>
      <c r="J64" s="1">
        <v>47285</v>
      </c>
    </row>
    <row r="65" spans="1:10" x14ac:dyDescent="0.3">
      <c r="A65" t="s">
        <v>310</v>
      </c>
      <c r="B65" t="s">
        <v>308</v>
      </c>
      <c r="C65" t="s">
        <v>57</v>
      </c>
      <c r="D65" s="2">
        <v>9.1999999999999998E-2</v>
      </c>
      <c r="E65" s="3" t="s">
        <v>309</v>
      </c>
      <c r="F65" t="s">
        <v>9</v>
      </c>
      <c r="G65" t="s">
        <v>311</v>
      </c>
      <c r="H65" t="s">
        <v>312</v>
      </c>
      <c r="I65" s="4">
        <f ca="1">ROUND(YEARFRAC(TODAY(),J65),2)</f>
        <v>1.97</v>
      </c>
      <c r="J65" s="1">
        <v>46930</v>
      </c>
    </row>
    <row r="66" spans="1:10" x14ac:dyDescent="0.3">
      <c r="A66" t="s">
        <v>315</v>
      </c>
      <c r="B66" t="s">
        <v>313</v>
      </c>
      <c r="C66" t="s">
        <v>57</v>
      </c>
      <c r="D66" s="2">
        <v>9.1999999999999998E-2</v>
      </c>
      <c r="E66" s="3" t="s">
        <v>314</v>
      </c>
      <c r="F66" t="s">
        <v>9</v>
      </c>
      <c r="G66" t="s">
        <v>316</v>
      </c>
      <c r="H66" t="s">
        <v>317</v>
      </c>
      <c r="I66" s="4">
        <f ca="1">ROUND(YEARFRAC(TODAY(),J66),2)</f>
        <v>1.67</v>
      </c>
      <c r="J66" s="1">
        <v>46822</v>
      </c>
    </row>
    <row r="67" spans="1:10" x14ac:dyDescent="0.3">
      <c r="A67" t="s">
        <v>320</v>
      </c>
      <c r="B67" t="s">
        <v>318</v>
      </c>
      <c r="C67" t="s">
        <v>92</v>
      </c>
      <c r="D67" s="2">
        <v>0.155</v>
      </c>
      <c r="E67" s="3" t="s">
        <v>319</v>
      </c>
      <c r="F67" t="s">
        <v>22</v>
      </c>
      <c r="G67" t="s">
        <v>321</v>
      </c>
      <c r="H67" t="s">
        <v>322</v>
      </c>
      <c r="I67" s="4">
        <f ca="1">ROUND(YEARFRAC(TODAY(),J67),2)</f>
        <v>1.87</v>
      </c>
      <c r="J67" s="1">
        <v>46893</v>
      </c>
    </row>
    <row r="68" spans="1:10" x14ac:dyDescent="0.3">
      <c r="A68" t="s">
        <v>325</v>
      </c>
      <c r="B68" t="s">
        <v>323</v>
      </c>
      <c r="C68" t="s">
        <v>92</v>
      </c>
      <c r="D68" s="2">
        <v>0.14499999999999999</v>
      </c>
      <c r="E68" s="3" t="s">
        <v>324</v>
      </c>
      <c r="F68" t="s">
        <v>22</v>
      </c>
      <c r="G68" t="s">
        <v>326</v>
      </c>
      <c r="H68" t="s">
        <v>327</v>
      </c>
      <c r="I68" s="4">
        <f ca="1">ROUND(YEARFRAC(TODAY(),J68),2)</f>
        <v>2.4500000000000002</v>
      </c>
      <c r="J68" s="1">
        <v>47106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subhamkaushik98765@gmail.com</cp:lastModifiedBy>
  <dcterms:created xsi:type="dcterms:W3CDTF">2026-07-07T12:13:10Z</dcterms:created>
  <dcterms:modified xsi:type="dcterms:W3CDTF">2026-07-08T06:33:11Z</dcterms:modified>
</cp:coreProperties>
</file>